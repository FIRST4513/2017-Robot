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144" windowWidth="16260" windowHeight="768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2" i="1" l="1"/>
  <c r="C3" i="1" l="1"/>
  <c r="C52" i="1" s="1"/>
  <c r="C15" i="1"/>
  <c r="C13" i="1" l="1"/>
  <c r="C11" i="1"/>
  <c r="C12" i="1"/>
  <c r="C18" i="1" l="1"/>
  <c r="C14" i="1"/>
  <c r="C19" i="1" l="1"/>
  <c r="C20" i="1"/>
  <c r="C21" i="1"/>
  <c r="C53" i="1" l="1"/>
  <c r="C22" i="1"/>
  <c r="C24" i="1"/>
  <c r="C25" i="1" l="1"/>
  <c r="C26" i="1" s="1"/>
  <c r="C31" i="1" s="1"/>
  <c r="C27" i="1"/>
  <c r="C59" i="1"/>
  <c r="C56" i="1"/>
  <c r="C32" i="1"/>
  <c r="C62" i="1"/>
  <c r="C61" i="1" l="1"/>
  <c r="C63" i="1" s="1"/>
  <c r="C60" i="1"/>
  <c r="C65" i="1" s="1"/>
  <c r="C33" i="1"/>
  <c r="C57" i="1"/>
  <c r="C38" i="1"/>
  <c r="C43" i="1" l="1"/>
  <c r="C39" i="1"/>
  <c r="C35" i="1"/>
  <c r="C40" i="1"/>
  <c r="C41" i="1"/>
  <c r="C42" i="1" l="1"/>
</calcChain>
</file>

<file path=xl/sharedStrings.xml><?xml version="1.0" encoding="utf-8"?>
<sst xmlns="http://schemas.openxmlformats.org/spreadsheetml/2006/main" count="88" uniqueCount="84">
  <si>
    <t>cogx</t>
  </si>
  <si>
    <t>cogy</t>
  </si>
  <si>
    <t>DEGPERPIXLE</t>
  </si>
  <si>
    <t>pixleConvFactor</t>
  </si>
  <si>
    <t>DEGREETORADIANCONST</t>
  </si>
  <si>
    <t>RADIANSTODEGREECONST</t>
  </si>
  <si>
    <t>TgtHt</t>
  </si>
  <si>
    <t>htAngle</t>
  </si>
  <si>
    <t>angleX</t>
  </si>
  <si>
    <t>ctrY</t>
  </si>
  <si>
    <t>ctrX</t>
  </si>
  <si>
    <t>tgtalinerror</t>
  </si>
  <si>
    <t>angle A</t>
  </si>
  <si>
    <t>angle B</t>
  </si>
  <si>
    <t>side b</t>
  </si>
  <si>
    <t>sidec</t>
  </si>
  <si>
    <t>sidee</t>
  </si>
  <si>
    <t>AngleD</t>
  </si>
  <si>
    <t>angleE</t>
  </si>
  <si>
    <t>currHdg</t>
  </si>
  <si>
    <t>tipdist</t>
  </si>
  <si>
    <t>sedef</t>
  </si>
  <si>
    <t>Tgt (Tip) Dist from wall</t>
  </si>
  <si>
    <t>tiphdg</t>
  </si>
  <si>
    <t>distTipBase</t>
  </si>
  <si>
    <t>maxShiftAngle</t>
  </si>
  <si>
    <t>RADIUISROBOTMIDPT</t>
  </si>
  <si>
    <t>maxShiftDist</t>
  </si>
  <si>
    <t>distShift</t>
  </si>
  <si>
    <t>distMidShift</t>
  </si>
  <si>
    <t>angleA</t>
  </si>
  <si>
    <t>sideRise</t>
  </si>
  <si>
    <t>shiftAngle</t>
  </si>
  <si>
    <t>shiftDist</t>
  </si>
  <si>
    <t>**** calc max values ******</t>
  </si>
  <si>
    <t>**** calc Shift values ******</t>
  </si>
  <si>
    <t>**** calc Dist to Tgt &amp; Angle X  ******</t>
  </si>
  <si>
    <t>**** calc NewHdg &amp; Dist to tip  ******</t>
  </si>
  <si>
    <t>=+B7*$B$28</t>
  </si>
  <si>
    <t/>
  </si>
  <si>
    <t>=+$B$3 / +TAN((degtorad(B10)))</t>
  </si>
  <si>
    <t>=+($B$6-$B$4)*$B$28</t>
  </si>
  <si>
    <t>=+B11/COS(degtorad(B12))</t>
  </si>
  <si>
    <t>=+B12+B14</t>
  </si>
  <si>
    <t>=90 - B17</t>
  </si>
  <si>
    <t>=+B13*COS(degtorad(B17))</t>
  </si>
  <si>
    <t>=+B13*SIN(degtorad(B17))</t>
  </si>
  <si>
    <t>=+B19-$B$1</t>
  </si>
  <si>
    <t>=90 - (radtodeg(ATAN(B20/B21)))</t>
  </si>
  <si>
    <t>=+B18-B23</t>
  </si>
  <si>
    <t>=+$B$2+B12+B24</t>
  </si>
  <si>
    <t>=+SQRT((POWER(B21,2)+(POWER(B20,2))))</t>
  </si>
  <si>
    <t>=+B26*COS(degtorad(B35))</t>
  </si>
  <si>
    <t>=+B26*SIN(degtorad(B25))</t>
  </si>
  <si>
    <t>=+B41 / 2</t>
  </si>
  <si>
    <t>=+B34*SIN(degtorad(B44))</t>
  </si>
  <si>
    <t>=+B44</t>
  </si>
  <si>
    <t>=+B45</t>
  </si>
  <si>
    <t>=+B36*COS(radtodeg((B37)))</t>
  </si>
  <si>
    <t>**** misc. constants ******</t>
  </si>
  <si>
    <t>Wall tgtDist (Dist to wall perp)</t>
  </si>
  <si>
    <t>Wall tgtDist (ctrx)</t>
  </si>
  <si>
    <t>=B25</t>
  </si>
  <si>
    <t>=+radtodeg(ASIN(B36/B34))  [b36 /14 can never be greater than 1 else error condition !!!!]</t>
  </si>
  <si>
    <t xml:space="preserve"> if b36/14 &gt; 1 set to 1 max</t>
  </si>
  <si>
    <t>=+radtodeg(ASIN(B42/B34)) [b42/b34 Cant be greater than 1 !!!]</t>
  </si>
  <si>
    <t>A+B</t>
  </si>
  <si>
    <t>L =  Shift Distance</t>
  </si>
  <si>
    <t>t = robot Angle</t>
  </si>
  <si>
    <t>W = Wheelbase ctr.</t>
  </si>
  <si>
    <t>b = shift angle b</t>
  </si>
  <si>
    <t>a = shift angle a</t>
  </si>
  <si>
    <t>A = shift dist A</t>
  </si>
  <si>
    <t>B = shift dist B</t>
  </si>
  <si>
    <t>=+radtodeg(ACOS((((C53+(C53*(COS(degtorad(C51)))-C52)))/(2*C53))))</t>
  </si>
  <si>
    <t>=+C55-C51</t>
  </si>
  <si>
    <t>=+C52-C58</t>
  </si>
  <si>
    <t>=+C53-(C53*(COS(degtorad(C55))))</t>
  </si>
  <si>
    <t>=+C57+C58</t>
  </si>
  <si>
    <t>tmp</t>
  </si>
  <si>
    <t>=((((C53+(C53*(COS(degtorad(C51)))-C52)))/(2*C53)))</t>
  </si>
  <si>
    <t>alignment error</t>
  </si>
  <si>
    <t>Ending Hdg</t>
  </si>
  <si>
    <t>=ROUND((+C60+C59-C2),4)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</si>
</sst>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65"/>
  <sheetViews>
    <sheetView tabSelected="1" zoomScaleNormal="100" workbookViewId="0">
      <selection activeCell="C13" sqref="C13"/>
    </sheetView>
  </sheetViews>
  <sheetFormatPr defaultRowHeight="15.6" x14ac:dyDescent="0.3"/>
  <cols>
    <col min="1" max="1" width="8.88671875" style="3"/>
    <col min="2" max="2" width="25.21875" customWidth="1"/>
    <col min="3" max="3" width="15.88671875" style="4" customWidth="1"/>
    <col min="4" max="4" width="61.44140625" customWidth="1"/>
  </cols>
  <sheetData>
    <row r="1" spans="1:4" ht="15.45" x14ac:dyDescent="0.35">
      <c r="A1" s="3">
        <v>1</v>
      </c>
      <c r="B1" t="s">
        <v>22</v>
      </c>
      <c r="C1" s="4">
        <v>6</v>
      </c>
    </row>
    <row r="2" spans="1:4" ht="15.45" x14ac:dyDescent="0.35">
      <c r="A2" s="3">
        <v>2</v>
      </c>
      <c r="B2" t="s">
        <v>19</v>
      </c>
      <c r="C2" s="4">
        <f>359.78-360</f>
        <v>-0.22000000000002728</v>
      </c>
    </row>
    <row r="3" spans="1:4" ht="15.45" x14ac:dyDescent="0.35">
      <c r="B3" t="s">
        <v>81</v>
      </c>
      <c r="C3" s="4">
        <f>+C2</f>
        <v>-0.22000000000002728</v>
      </c>
    </row>
    <row r="4" spans="1:4" ht="15.45" x14ac:dyDescent="0.35">
      <c r="A4" s="3">
        <v>3</v>
      </c>
      <c r="B4" t="s">
        <v>6</v>
      </c>
      <c r="C4" s="4">
        <v>9.75</v>
      </c>
    </row>
    <row r="5" spans="1:4" ht="15.45" x14ac:dyDescent="0.35">
      <c r="A5" s="3">
        <v>4</v>
      </c>
      <c r="B5" t="s">
        <v>10</v>
      </c>
      <c r="C5" s="4">
        <v>98</v>
      </c>
    </row>
    <row r="6" spans="1:4" ht="15.45" x14ac:dyDescent="0.35">
      <c r="A6" s="3">
        <v>5</v>
      </c>
      <c r="B6" t="s">
        <v>9</v>
      </c>
      <c r="C6" s="4">
        <v>160</v>
      </c>
    </row>
    <row r="7" spans="1:4" ht="18" x14ac:dyDescent="0.35">
      <c r="A7" s="3">
        <v>6</v>
      </c>
      <c r="B7" t="s">
        <v>0</v>
      </c>
      <c r="C7" s="5">
        <v>63</v>
      </c>
    </row>
    <row r="8" spans="1:4" ht="18" x14ac:dyDescent="0.35">
      <c r="A8" s="3">
        <v>7</v>
      </c>
      <c r="B8" t="s">
        <v>1</v>
      </c>
      <c r="C8" s="5">
        <v>59</v>
      </c>
    </row>
    <row r="9" spans="1:4" ht="15.45" x14ac:dyDescent="0.35">
      <c r="A9" s="3">
        <v>8</v>
      </c>
    </row>
    <row r="10" spans="1:4" ht="15.45" x14ac:dyDescent="0.35">
      <c r="A10" s="3">
        <v>9</v>
      </c>
      <c r="B10" s="1" t="s">
        <v>36</v>
      </c>
    </row>
    <row r="11" spans="1:4" ht="15.45" x14ac:dyDescent="0.35">
      <c r="A11" s="3">
        <v>10</v>
      </c>
      <c r="B11" t="s">
        <v>7</v>
      </c>
      <c r="C11" s="4">
        <f>+C8*$C$46</f>
        <v>9.2514713999999998</v>
      </c>
      <c r="D11" s="1" t="s">
        <v>38</v>
      </c>
    </row>
    <row r="12" spans="1:4" ht="15.45" x14ac:dyDescent="0.35">
      <c r="A12" s="3">
        <v>11</v>
      </c>
      <c r="B12" t="s">
        <v>60</v>
      </c>
      <c r="C12" s="4">
        <f>+$C$4 / +TAN((degtorad(C11)))</f>
        <v>59.857529922753912</v>
      </c>
      <c r="D12" s="1" t="s">
        <v>40</v>
      </c>
    </row>
    <row r="13" spans="1:4" ht="18.45" x14ac:dyDescent="0.45">
      <c r="A13" s="3">
        <v>12</v>
      </c>
      <c r="B13" s="2" t="s">
        <v>8</v>
      </c>
      <c r="C13" s="5">
        <f>+($C$7-$C$5)*$C$46</f>
        <v>-5.4881609999999998</v>
      </c>
      <c r="D13" s="1" t="s">
        <v>41</v>
      </c>
    </row>
    <row r="14" spans="1:4" ht="18.45" x14ac:dyDescent="0.45">
      <c r="A14" s="3">
        <v>13</v>
      </c>
      <c r="B14" s="2" t="s">
        <v>61</v>
      </c>
      <c r="C14" s="5">
        <f>+C12/COS(degtorad(C13))</f>
        <v>60.133181765687354</v>
      </c>
      <c r="D14" s="1" t="s">
        <v>42</v>
      </c>
    </row>
    <row r="15" spans="1:4" ht="15.45" x14ac:dyDescent="0.35">
      <c r="A15" s="3">
        <v>14</v>
      </c>
      <c r="B15" t="s">
        <v>11</v>
      </c>
      <c r="C15" s="4">
        <f>+C2</f>
        <v>-0.22000000000002728</v>
      </c>
    </row>
    <row r="16" spans="1:4" ht="15.45" x14ac:dyDescent="0.35">
      <c r="A16" s="3">
        <v>15</v>
      </c>
    </row>
    <row r="17" spans="1:4" ht="15.45" x14ac:dyDescent="0.35">
      <c r="A17" s="3">
        <v>16</v>
      </c>
      <c r="B17" s="1" t="s">
        <v>37</v>
      </c>
    </row>
    <row r="18" spans="1:4" ht="15.45" x14ac:dyDescent="0.35">
      <c r="A18" s="3">
        <v>17</v>
      </c>
      <c r="B18" t="s">
        <v>12</v>
      </c>
      <c r="C18" s="4">
        <f>+C13+C15</f>
        <v>-5.7081610000000271</v>
      </c>
      <c r="D18" s="1" t="s">
        <v>43</v>
      </c>
    </row>
    <row r="19" spans="1:4" ht="15.45" x14ac:dyDescent="0.35">
      <c r="A19" s="3">
        <v>18</v>
      </c>
      <c r="B19" t="s">
        <v>13</v>
      </c>
      <c r="C19" s="4">
        <f>90 - C18</f>
        <v>95.708161000000032</v>
      </c>
      <c r="D19" s="1" t="s">
        <v>44</v>
      </c>
    </row>
    <row r="20" spans="1:4" ht="15.45" x14ac:dyDescent="0.35">
      <c r="A20" s="3">
        <v>19</v>
      </c>
      <c r="B20" t="s">
        <v>14</v>
      </c>
      <c r="C20" s="4">
        <f>+C14*COS(degtorad(C18))</f>
        <v>59.835005904623884</v>
      </c>
      <c r="D20" s="1" t="s">
        <v>45</v>
      </c>
    </row>
    <row r="21" spans="1:4" ht="18" x14ac:dyDescent="0.35">
      <c r="A21" s="3">
        <v>20</v>
      </c>
      <c r="B21" t="s">
        <v>15</v>
      </c>
      <c r="C21" s="6">
        <f>+C14*SIN(degtorad(C18))</f>
        <v>-5.980937857796107</v>
      </c>
      <c r="D21" s="1" t="s">
        <v>46</v>
      </c>
    </row>
    <row r="22" spans="1:4" ht="15.45" x14ac:dyDescent="0.35">
      <c r="A22" s="3">
        <v>21</v>
      </c>
      <c r="B22" t="s">
        <v>16</v>
      </c>
      <c r="C22" s="4">
        <f>+C20-$C$1</f>
        <v>53.835005904623884</v>
      </c>
      <c r="D22" s="1" t="s">
        <v>47</v>
      </c>
    </row>
    <row r="23" spans="1:4" ht="15.45" x14ac:dyDescent="0.35">
      <c r="A23" s="3">
        <v>22</v>
      </c>
      <c r="B23" t="s">
        <v>21</v>
      </c>
    </row>
    <row r="24" spans="1:4" ht="15.45" x14ac:dyDescent="0.35">
      <c r="A24" s="3">
        <v>23</v>
      </c>
      <c r="B24" t="s">
        <v>17</v>
      </c>
      <c r="C24" s="4">
        <f>90 - (radtodeg(ATAN(C21/C22)))</f>
        <v>96.339426125050707</v>
      </c>
      <c r="D24" s="1" t="s">
        <v>48</v>
      </c>
    </row>
    <row r="25" spans="1:4" ht="15.45" x14ac:dyDescent="0.35">
      <c r="A25" s="3">
        <v>24</v>
      </c>
      <c r="B25" t="s">
        <v>18</v>
      </c>
      <c r="C25" s="4">
        <f>+C19-C24</f>
        <v>-0.63126512505067467</v>
      </c>
      <c r="D25" s="1" t="s">
        <v>49</v>
      </c>
    </row>
    <row r="26" spans="1:4" ht="18.45" x14ac:dyDescent="0.45">
      <c r="A26" s="3">
        <v>25</v>
      </c>
      <c r="B26" s="2" t="s">
        <v>23</v>
      </c>
      <c r="C26" s="5">
        <f>+$C$2+C13+C25</f>
        <v>-6.3394261250507018</v>
      </c>
      <c r="D26" s="1" t="s">
        <v>50</v>
      </c>
    </row>
    <row r="27" spans="1:4" ht="18.45" x14ac:dyDescent="0.45">
      <c r="A27" s="3">
        <v>26</v>
      </c>
      <c r="B27" s="2" t="s">
        <v>20</v>
      </c>
      <c r="C27" s="5">
        <f>+SQRT((POWER(C22,2)+(POWER(C21,2))))</f>
        <v>54.166220824511164</v>
      </c>
      <c r="D27" s="1" t="s">
        <v>51</v>
      </c>
    </row>
    <row r="29" spans="1:4" x14ac:dyDescent="0.3">
      <c r="A29" s="3">
        <v>33</v>
      </c>
      <c r="B29" s="1" t="s">
        <v>34</v>
      </c>
    </row>
    <row r="30" spans="1:4" x14ac:dyDescent="0.3">
      <c r="A30" s="3">
        <v>34</v>
      </c>
      <c r="B30" t="s">
        <v>26</v>
      </c>
      <c r="C30" s="4">
        <v>14</v>
      </c>
      <c r="D30" s="1" t="s">
        <v>39</v>
      </c>
    </row>
    <row r="31" spans="1:4" x14ac:dyDescent="0.3">
      <c r="A31" s="3">
        <v>35</v>
      </c>
      <c r="B31" t="s">
        <v>23</v>
      </c>
      <c r="C31" s="4">
        <f>+C26</f>
        <v>-6.3394261250507018</v>
      </c>
      <c r="D31" s="1" t="s">
        <v>62</v>
      </c>
    </row>
    <row r="32" spans="1:4" x14ac:dyDescent="0.3">
      <c r="A32" s="3">
        <v>36</v>
      </c>
      <c r="B32" t="s">
        <v>24</v>
      </c>
      <c r="C32" s="4">
        <f>+C27*COS(degtorad(C31))</f>
        <v>53.835005488340641</v>
      </c>
      <c r="D32" s="1" t="s">
        <v>52</v>
      </c>
    </row>
    <row r="33" spans="1:4" ht="18" x14ac:dyDescent="0.35">
      <c r="A33" s="3">
        <v>37</v>
      </c>
      <c r="B33" s="2" t="s">
        <v>25</v>
      </c>
      <c r="C33" s="6" t="e">
        <f>+radtodeg(ASIN(C32/C30))</f>
        <v>#VALUE!</v>
      </c>
      <c r="D33" s="8" t="s">
        <v>63</v>
      </c>
    </row>
    <row r="34" spans="1:4" ht="18" x14ac:dyDescent="0.35">
      <c r="B34" s="2"/>
      <c r="C34" s="6"/>
      <c r="D34" s="8" t="s">
        <v>64</v>
      </c>
    </row>
    <row r="35" spans="1:4" ht="18" x14ac:dyDescent="0.35">
      <c r="A35" s="3">
        <v>38</v>
      </c>
      <c r="B35" s="2" t="s">
        <v>27</v>
      </c>
      <c r="C35" s="5">
        <f>+C32*(COS(degtorad(C39)))</f>
        <v>53.761694274013408</v>
      </c>
      <c r="D35" s="1" t="s">
        <v>58</v>
      </c>
    </row>
    <row r="36" spans="1:4" x14ac:dyDescent="0.3">
      <c r="A36" s="3">
        <v>39</v>
      </c>
    </row>
    <row r="37" spans="1:4" x14ac:dyDescent="0.3">
      <c r="A37" s="3">
        <v>40</v>
      </c>
      <c r="B37" s="1" t="s">
        <v>35</v>
      </c>
    </row>
    <row r="38" spans="1:4" x14ac:dyDescent="0.3">
      <c r="A38" s="3">
        <v>41</v>
      </c>
      <c r="B38" t="s">
        <v>28</v>
      </c>
      <c r="C38" s="4">
        <f>+C27*SIN(degtorad(C26))</f>
        <v>-5.980941604801048</v>
      </c>
      <c r="D38" s="1" t="s">
        <v>53</v>
      </c>
    </row>
    <row r="39" spans="1:4" x14ac:dyDescent="0.3">
      <c r="A39" s="3">
        <v>42</v>
      </c>
      <c r="B39" t="s">
        <v>29</v>
      </c>
      <c r="C39" s="4">
        <f>+C38 / 2</f>
        <v>-2.990470802400524</v>
      </c>
      <c r="D39" s="1" t="s">
        <v>54</v>
      </c>
    </row>
    <row r="40" spans="1:4" x14ac:dyDescent="0.3">
      <c r="A40" s="3">
        <v>44</v>
      </c>
      <c r="B40" t="s">
        <v>30</v>
      </c>
      <c r="C40" s="7">
        <f>+radtodeg(ASIN(C39/C30))</f>
        <v>-12.333704420160284</v>
      </c>
      <c r="D40" s="8" t="s">
        <v>65</v>
      </c>
    </row>
    <row r="41" spans="1:4" x14ac:dyDescent="0.3">
      <c r="A41" s="3">
        <v>45</v>
      </c>
      <c r="B41" t="s">
        <v>31</v>
      </c>
      <c r="C41" s="4">
        <f>+C30*SIN(degtorad(C40))</f>
        <v>-2.9904726544396985</v>
      </c>
      <c r="D41" s="1" t="s">
        <v>55</v>
      </c>
    </row>
    <row r="42" spans="1:4" ht="18" x14ac:dyDescent="0.35">
      <c r="A42" s="3">
        <v>46</v>
      </c>
      <c r="B42" s="2" t="s">
        <v>32</v>
      </c>
      <c r="C42" s="5">
        <f>+C40</f>
        <v>-12.333704420160284</v>
      </c>
      <c r="D42" s="1" t="s">
        <v>56</v>
      </c>
    </row>
    <row r="43" spans="1:4" ht="18" x14ac:dyDescent="0.35">
      <c r="A43" s="3">
        <v>47</v>
      </c>
      <c r="B43" s="2" t="s">
        <v>33</v>
      </c>
      <c r="C43" s="5">
        <f>+C38</f>
        <v>-5.980941604801048</v>
      </c>
      <c r="D43" s="1" t="s">
        <v>57</v>
      </c>
    </row>
    <row r="45" spans="1:4" x14ac:dyDescent="0.3">
      <c r="A45" s="3">
        <v>27</v>
      </c>
      <c r="B45" s="1" t="s">
        <v>59</v>
      </c>
    </row>
    <row r="46" spans="1:4" x14ac:dyDescent="0.3">
      <c r="A46" s="3">
        <v>28</v>
      </c>
      <c r="B46" t="s">
        <v>2</v>
      </c>
      <c r="C46" s="4">
        <v>0.15680459999999999</v>
      </c>
      <c r="D46" s="1"/>
    </row>
    <row r="47" spans="1:4" x14ac:dyDescent="0.3">
      <c r="A47" s="3">
        <v>29</v>
      </c>
      <c r="B47" t="s">
        <v>3</v>
      </c>
      <c r="C47" s="4">
        <v>0.17798</v>
      </c>
      <c r="D47" s="1" t="s">
        <v>39</v>
      </c>
    </row>
    <row r="48" spans="1:4" x14ac:dyDescent="0.3">
      <c r="A48" s="3">
        <v>30</v>
      </c>
      <c r="B48" t="s">
        <v>4</v>
      </c>
      <c r="C48" s="4">
        <v>1.7453300000000001E-2</v>
      </c>
      <c r="D48" s="1" t="s">
        <v>39</v>
      </c>
    </row>
    <row r="49" spans="1:4" x14ac:dyDescent="0.3">
      <c r="A49" s="3">
        <v>31</v>
      </c>
      <c r="B49" t="s">
        <v>5</v>
      </c>
      <c r="C49" s="4">
        <v>57.295791000000001</v>
      </c>
      <c r="D49" s="1" t="s">
        <v>39</v>
      </c>
    </row>
    <row r="52" spans="1:4" x14ac:dyDescent="0.3">
      <c r="A52" s="3">
        <v>51</v>
      </c>
      <c r="B52" t="s">
        <v>68</v>
      </c>
      <c r="C52" s="4">
        <f>+C3</f>
        <v>-0.22000000000002728</v>
      </c>
    </row>
    <row r="53" spans="1:4" x14ac:dyDescent="0.3">
      <c r="A53" s="3">
        <v>52</v>
      </c>
      <c r="B53" t="s">
        <v>67</v>
      </c>
      <c r="C53" s="4">
        <f>+C21</f>
        <v>-5.980937857796107</v>
      </c>
    </row>
    <row r="54" spans="1:4" x14ac:dyDescent="0.3">
      <c r="A54" s="3">
        <v>53</v>
      </c>
      <c r="B54" t="s">
        <v>69</v>
      </c>
      <c r="C54" s="4">
        <v>14</v>
      </c>
    </row>
    <row r="56" spans="1:4" x14ac:dyDescent="0.3">
      <c r="B56" t="s">
        <v>79</v>
      </c>
      <c r="C56" s="4">
        <f>((((C54+(C54*(COS(degtorad(C52)))-C53)))/(2*C54)))</f>
        <v>1.2136012376233078</v>
      </c>
      <c r="D56" s="1" t="s">
        <v>80</v>
      </c>
    </row>
    <row r="57" spans="1:4" x14ac:dyDescent="0.3">
      <c r="C57" s="4" t="e">
        <f>+radtodeg(ACOS(C56))</f>
        <v>#VALUE!</v>
      </c>
    </row>
    <row r="59" spans="1:4" x14ac:dyDescent="0.3">
      <c r="A59" s="3">
        <v>55</v>
      </c>
      <c r="B59" t="s">
        <v>70</v>
      </c>
      <c r="C59" s="4" t="e">
        <f>+radtodeg(ACOS((((C54+(C54*(COS(degtorad(C52)))-C53)))/(2*C54))))</f>
        <v>#VALUE!</v>
      </c>
      <c r="D59" s="1" t="s">
        <v>74</v>
      </c>
    </row>
    <row r="60" spans="1:4" x14ac:dyDescent="0.3">
      <c r="A60" s="3">
        <v>56</v>
      </c>
      <c r="B60" t="s">
        <v>71</v>
      </c>
      <c r="C60" s="4" t="e">
        <f>+(C59-C52)*-1</f>
        <v>#VALUE!</v>
      </c>
      <c r="D60" s="1" t="s">
        <v>75</v>
      </c>
    </row>
    <row r="61" spans="1:4" x14ac:dyDescent="0.3">
      <c r="A61" s="3">
        <v>57</v>
      </c>
      <c r="B61" t="s">
        <v>72</v>
      </c>
      <c r="C61" s="4" t="e">
        <f>+C53-C62</f>
        <v>#VALUE!</v>
      </c>
      <c r="D61" s="1" t="s">
        <v>76</v>
      </c>
    </row>
    <row r="62" spans="1:4" x14ac:dyDescent="0.3">
      <c r="A62" s="3">
        <v>58</v>
      </c>
      <c r="B62" t="s">
        <v>73</v>
      </c>
      <c r="C62" s="4" t="e">
        <f>+C54-(C54*(COS(degtorad(C59))))</f>
        <v>#VALUE!</v>
      </c>
      <c r="D62" s="1" t="s">
        <v>77</v>
      </c>
    </row>
    <row r="63" spans="1:4" x14ac:dyDescent="0.3">
      <c r="A63" s="3">
        <v>59</v>
      </c>
      <c r="B63" s="1" t="s">
        <v>66</v>
      </c>
      <c r="C63" s="4" t="e">
        <f>+C61+C62</f>
        <v>#VALUE!</v>
      </c>
      <c r="D63" s="1" t="s">
        <v>78</v>
      </c>
    </row>
    <row r="65" spans="2:4" x14ac:dyDescent="0.3">
      <c r="B65" t="s">
        <v>82</v>
      </c>
      <c r="C65" s="4" t="e">
        <f>ROUND((+C60+C59),4)</f>
        <v>#VALUE!</v>
      </c>
      <c r="D65" s="1" t="s">
        <v>83</v>
      </c>
    </row>
  </sheetData>
  <printOptions gridLines="1"/>
  <pageMargins left="0.7" right="0.7" top="0.75" bottom="0.75" header="0.3" footer="0.3"/>
  <pageSetup scale="70" orientation="portrait" horizontalDpi="0" verticalDpi="0" r:id="rId1"/>
  <headerFooter>
    <oddHeader>&amp;C&amp;"-,Bold"&amp;28Vision Calc 2017</oddHeader>
    <oddFooter>&amp;L&amp;D &amp;T&amp;R&amp;Z&amp;F &amp;F 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2017-04-19T02:54:10Z</cp:lastPrinted>
  <dcterms:created xsi:type="dcterms:W3CDTF">2017-04-03T20:36:30Z</dcterms:created>
  <dcterms:modified xsi:type="dcterms:W3CDTF">2017-04-20T21:14:08Z</dcterms:modified>
</cp:coreProperties>
</file>